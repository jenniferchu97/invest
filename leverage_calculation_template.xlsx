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银利3号" sheetId="1" state="visible" r:id="rId1"/>
    <sheet name="银利5号" sheetId="2" state="visible" r:id="rId2"/>
    <sheet name="健康险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b val="1"/>
      <sz val="1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B4C7E7"/>
        <bgColor rgb="00B4C7E7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3" fillId="5" borderId="0" pivotButton="0" quotePrefix="0" xfId="0"/>
    <xf numFmtId="2" fontId="0" fillId="4" borderId="0" pivotButton="0" quotePrefix="0" xfId="0"/>
    <xf numFmtId="2" fontId="0" fillId="6" borderId="0" pivotButton="0" quotePrefix="0" xfId="0"/>
    <xf numFmtId="0" fontId="3" fillId="5" borderId="1" applyAlignment="1" pivotButton="0" quotePrefix="0" xfId="0">
      <alignment horizontal="center" vertical="center"/>
    </xf>
    <xf numFmtId="0" fontId="4" fillId="0" borderId="0" pivotButton="0" quotePrefix="0" xfId="0"/>
    <xf numFmtId="2" fontId="4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  <sz val="12"/>
      </font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20" customWidth="1" min="5" max="5"/>
  </cols>
  <sheetData>
    <row r="1">
      <c r="A1" s="1" t="inlineStr">
        <is>
          <t>第一部分：初始资产负债表数据区</t>
        </is>
      </c>
    </row>
    <row r="2">
      <c r="A2" s="2" t="inlineStr">
        <is>
          <t>账户名称:</t>
        </is>
      </c>
      <c r="B2" s="3" t="inlineStr">
        <is>
          <t>银利3号</t>
        </is>
      </c>
    </row>
    <row r="3">
      <c r="A3" s="2" t="inlineStr">
        <is>
          <t>数据日期:</t>
        </is>
      </c>
      <c r="B3" s="4" t="n"/>
    </row>
    <row r="5">
      <c r="A5" s="5" t="inlineStr">
        <is>
          <t>初始数据</t>
        </is>
      </c>
    </row>
    <row r="6">
      <c r="A6" t="inlineStr">
        <is>
          <t>总资产</t>
        </is>
      </c>
      <c r="B6" s="6" t="n"/>
    </row>
    <row r="7">
      <c r="A7" t="inlineStr">
        <is>
          <t>总负债</t>
        </is>
      </c>
      <c r="B7" s="6" t="n"/>
    </row>
    <row r="8">
      <c r="A8" t="inlineStr">
        <is>
          <t>净资产</t>
        </is>
      </c>
      <c r="B8" s="7">
        <f>B6-B7</f>
        <v/>
      </c>
    </row>
    <row r="9">
      <c r="A9" t="inlineStr">
        <is>
          <t>基准杠杆率</t>
        </is>
      </c>
      <c r="B9" s="7">
        <f>IFERROR(B6/B8,0)</f>
        <v/>
      </c>
    </row>
    <row r="11">
      <c r="A11" s="5" t="inlineStr">
        <is>
          <t>详细项目</t>
        </is>
      </c>
    </row>
    <row r="12">
      <c r="A12" t="inlineStr">
        <is>
          <t>卖出回购金融资产款</t>
        </is>
      </c>
      <c r="B12" s="6" t="n"/>
    </row>
    <row r="13">
      <c r="A13" t="inlineStr">
        <is>
          <t>交易性金融负债-买断</t>
        </is>
      </c>
      <c r="B13" s="6" t="n"/>
    </row>
    <row r="14">
      <c r="A14" t="inlineStr">
        <is>
          <t>交易性金融负债-借券</t>
        </is>
      </c>
      <c r="B14" s="6" t="n"/>
    </row>
    <row r="15">
      <c r="A15" t="inlineStr">
        <is>
          <t>质押式逆回购</t>
        </is>
      </c>
      <c r="B15" s="6" t="n"/>
    </row>
    <row r="17">
      <c r="A17" s="1" t="inlineStr">
        <is>
          <t>第二部分：当日操作输入区</t>
        </is>
      </c>
    </row>
    <row r="18">
      <c r="A18" s="8" t="inlineStr">
        <is>
          <t>操作类型</t>
        </is>
      </c>
      <c r="B18" s="8" t="inlineStr">
        <is>
          <t>金额</t>
        </is>
      </c>
      <c r="C18" s="8" t="inlineStr">
        <is>
          <t>说明</t>
        </is>
      </c>
    </row>
    <row r="19">
      <c r="A19" t="inlineStr">
        <is>
          <t>买卖券净额</t>
        </is>
      </c>
      <c r="B19" s="6" t="n"/>
      <c r="C19" t="inlineStr">
        <is>
          <t>正数为净买入，负数为净卖出</t>
        </is>
      </c>
    </row>
    <row r="20">
      <c r="A20" t="inlineStr">
        <is>
          <t>借券卖空</t>
        </is>
      </c>
      <c r="B20" s="6" t="n"/>
      <c r="C20" t="inlineStr">
        <is>
          <t>增加借券杠杆</t>
        </is>
      </c>
    </row>
    <row r="21">
      <c r="A21" t="inlineStr">
        <is>
          <t>买断逆回购</t>
        </is>
      </c>
      <c r="B21" s="6" t="n"/>
      <c r="C21" t="inlineStr">
        <is>
          <t>增加回购和借券杠杆</t>
        </is>
      </c>
    </row>
    <row r="22">
      <c r="A22" t="inlineStr">
        <is>
          <t>增减资</t>
        </is>
      </c>
      <c r="B22" s="6" t="n"/>
      <c r="C22" t="inlineStr">
        <is>
          <t>正数增资，负数减资</t>
        </is>
      </c>
    </row>
    <row r="23">
      <c r="A23" t="inlineStr">
        <is>
          <t>其他调整</t>
        </is>
      </c>
      <c r="B23" s="6" t="n"/>
      <c r="C23" t="inlineStr"/>
    </row>
    <row r="25">
      <c r="A25" s="1" t="inlineStr">
        <is>
          <t>第三部分：变化前后对比区</t>
        </is>
      </c>
    </row>
    <row r="26">
      <c r="A26" s="8" t="inlineStr">
        <is>
          <t>指标</t>
        </is>
      </c>
      <c r="B26" s="8" t="inlineStr">
        <is>
          <t>变化前</t>
        </is>
      </c>
      <c r="C26" s="8" t="inlineStr">
        <is>
          <t>变化后</t>
        </is>
      </c>
      <c r="D26" s="8" t="inlineStr">
        <is>
          <t>变化量</t>
        </is>
      </c>
    </row>
    <row r="27">
      <c r="A27" t="inlineStr">
        <is>
          <t>总资产</t>
        </is>
      </c>
      <c r="B27" s="7">
        <f>B6</f>
        <v/>
      </c>
      <c r="C27" s="7">
        <f>B27+B19+B20+B21</f>
        <v/>
      </c>
      <c r="D27" s="7">
        <f>C27-B27</f>
        <v/>
      </c>
    </row>
    <row r="28">
      <c r="A28" t="inlineStr">
        <is>
          <t>净资产</t>
        </is>
      </c>
      <c r="B28" s="7">
        <f>B8</f>
        <v/>
      </c>
      <c r="C28" s="7">
        <f>B28+B22+B23</f>
        <v/>
      </c>
      <c r="D28" s="7">
        <f>C28-B28</f>
        <v/>
      </c>
    </row>
    <row r="29">
      <c r="A29" t="inlineStr">
        <is>
          <t>杠杆率</t>
        </is>
      </c>
      <c r="B29" s="7">
        <f>IFERROR(B27/B28,0)</f>
        <v/>
      </c>
      <c r="C29" s="7">
        <f>IFERROR(C27/C28,0)</f>
        <v/>
      </c>
      <c r="D29" s="7">
        <f>C29-B29</f>
        <v/>
      </c>
    </row>
    <row r="30">
      <c r="A30" t="inlineStr">
        <is>
          <t>回购规模</t>
        </is>
      </c>
      <c r="B30" s="7">
        <f>B12</f>
        <v/>
      </c>
      <c r="C30" s="7">
        <f>B30+B21</f>
        <v/>
      </c>
      <c r="D30" s="7">
        <f>C30-B30</f>
        <v/>
      </c>
    </row>
    <row r="31">
      <c r="A31" t="inlineStr">
        <is>
          <t>回购杠杆</t>
        </is>
      </c>
      <c r="B31" s="7">
        <f>IFERROR(B30/B28,0)</f>
        <v/>
      </c>
      <c r="C31" s="7">
        <f>IFERROR(C30/C28,0)</f>
        <v/>
      </c>
      <c r="D31" s="7">
        <f>C31-B31</f>
        <v/>
      </c>
    </row>
    <row r="32">
      <c r="A32" t="inlineStr">
        <is>
          <t>借券规模</t>
        </is>
      </c>
      <c r="B32" s="7">
        <f>B13+B14</f>
        <v/>
      </c>
      <c r="C32" s="7">
        <f>B32+B20+B21</f>
        <v/>
      </c>
      <c r="D32" s="7">
        <f>C32-B32</f>
        <v/>
      </c>
    </row>
    <row r="33">
      <c r="A33" t="inlineStr">
        <is>
          <t>借券杠杆</t>
        </is>
      </c>
      <c r="B33" s="7">
        <f>IFERROR(B32/B28,0)</f>
        <v/>
      </c>
      <c r="C33" s="7">
        <f>IFERROR(C32/C28,0)</f>
        <v/>
      </c>
      <c r="D33" s="7">
        <f>C33-B33</f>
        <v/>
      </c>
    </row>
    <row r="34">
      <c r="A34" t="inlineStr">
        <is>
          <t>质押式逆回购规模</t>
        </is>
      </c>
      <c r="B34" s="7">
        <f>B15</f>
        <v/>
      </c>
      <c r="C34" s="7">
        <f>B34</f>
        <v/>
      </c>
      <c r="D34" s="7">
        <f>C34-B34</f>
        <v/>
      </c>
    </row>
    <row r="35">
      <c r="A35" t="inlineStr">
        <is>
          <t>质押式逆回购杠杆</t>
        </is>
      </c>
      <c r="B35" s="7">
        <f>IFERROR(B34/B28,0)</f>
        <v/>
      </c>
      <c r="C35" s="7">
        <f>IFERROR(C34/C28,0)</f>
        <v/>
      </c>
      <c r="D35" s="7">
        <f>C35-B35</f>
        <v/>
      </c>
    </row>
    <row r="37">
      <c r="A37" s="1" t="inlineStr">
        <is>
          <t>第四部分：杠杆限制预警区</t>
        </is>
      </c>
    </row>
    <row r="38">
      <c r="A38" s="9" t="inlineStr">
        <is>
          <t>当前杠杆率:</t>
        </is>
      </c>
      <c r="B38" s="10">
        <f>C29</f>
        <v/>
      </c>
    </row>
    <row r="39">
      <c r="A39" s="9" t="inlineStr">
        <is>
          <t>杠杆限制:</t>
        </is>
      </c>
      <c r="B39" s="10" t="n">
        <v>1.4</v>
      </c>
    </row>
    <row r="40">
      <c r="A40" s="9" t="inlineStr">
        <is>
          <t>预警状态:</t>
        </is>
      </c>
      <c r="B40" s="9">
        <f>IF(B38&gt;B39,"超过杠杆限制！","正常")</f>
        <v/>
      </c>
    </row>
  </sheetData>
  <mergeCells count="7">
    <mergeCell ref="B2:C2"/>
    <mergeCell ref="B3:C3"/>
    <mergeCell ref="A25:E25"/>
    <mergeCell ref="B40:D40"/>
    <mergeCell ref="A1:E1"/>
    <mergeCell ref="A37:E37"/>
    <mergeCell ref="A17:E17"/>
  </mergeCells>
  <conditionalFormatting sqref="B40:D40">
    <cfRule type="cellIs" priority="1" operator="containsText" dxfId="0">
      <formula>"超过"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20" customWidth="1" min="5" max="5"/>
  </cols>
  <sheetData>
    <row r="1">
      <c r="A1" s="1" t="inlineStr">
        <is>
          <t>第一部分：初始资产负债表数据区</t>
        </is>
      </c>
    </row>
    <row r="2">
      <c r="A2" s="2" t="inlineStr">
        <is>
          <t>账户名称:</t>
        </is>
      </c>
      <c r="B2" s="3" t="inlineStr">
        <is>
          <t>银利5号</t>
        </is>
      </c>
    </row>
    <row r="3">
      <c r="A3" s="2" t="inlineStr">
        <is>
          <t>数据日期:</t>
        </is>
      </c>
      <c r="B3" s="4" t="n"/>
    </row>
    <row r="5">
      <c r="A5" s="5" t="inlineStr">
        <is>
          <t>初始数据</t>
        </is>
      </c>
    </row>
    <row r="6">
      <c r="A6" t="inlineStr">
        <is>
          <t>总资产</t>
        </is>
      </c>
      <c r="B6" s="6" t="n"/>
    </row>
    <row r="7">
      <c r="A7" t="inlineStr">
        <is>
          <t>总负债</t>
        </is>
      </c>
      <c r="B7" s="6" t="n"/>
    </row>
    <row r="8">
      <c r="A8" t="inlineStr">
        <is>
          <t>净资产</t>
        </is>
      </c>
      <c r="B8" s="7">
        <f>B6-B7</f>
        <v/>
      </c>
    </row>
    <row r="9">
      <c r="A9" t="inlineStr">
        <is>
          <t>基准杠杆率</t>
        </is>
      </c>
      <c r="B9" s="7">
        <f>IFERROR(B6/B8,0)</f>
        <v/>
      </c>
    </row>
    <row r="11">
      <c r="A11" s="5" t="inlineStr">
        <is>
          <t>详细项目</t>
        </is>
      </c>
    </row>
    <row r="12">
      <c r="A12" t="inlineStr">
        <is>
          <t>卖出回购金融资产款</t>
        </is>
      </c>
      <c r="B12" s="6" t="n"/>
    </row>
    <row r="13">
      <c r="A13" t="inlineStr">
        <is>
          <t>交易性金融负债-买断</t>
        </is>
      </c>
      <c r="B13" s="6" t="n"/>
    </row>
    <row r="14">
      <c r="A14" t="inlineStr">
        <is>
          <t>交易性金融负债-借券</t>
        </is>
      </c>
      <c r="B14" s="6" t="n"/>
    </row>
    <row r="15">
      <c r="A15" t="inlineStr">
        <is>
          <t>质押式逆回购</t>
        </is>
      </c>
      <c r="B15" s="6" t="n"/>
    </row>
    <row r="17">
      <c r="A17" s="1" t="inlineStr">
        <is>
          <t>第二部分：当日操作输入区</t>
        </is>
      </c>
    </row>
    <row r="18">
      <c r="A18" s="8" t="inlineStr">
        <is>
          <t>操作类型</t>
        </is>
      </c>
      <c r="B18" s="8" t="inlineStr">
        <is>
          <t>金额</t>
        </is>
      </c>
      <c r="C18" s="8" t="inlineStr">
        <is>
          <t>说明</t>
        </is>
      </c>
    </row>
    <row r="19">
      <c r="A19" t="inlineStr">
        <is>
          <t>买卖券净额</t>
        </is>
      </c>
      <c r="B19" s="6" t="n"/>
      <c r="C19" t="inlineStr">
        <is>
          <t>正数为净买入，负数为净卖出</t>
        </is>
      </c>
    </row>
    <row r="20">
      <c r="A20" t="inlineStr">
        <is>
          <t>借券卖空</t>
        </is>
      </c>
      <c r="B20" s="6" t="n"/>
      <c r="C20" t="inlineStr">
        <is>
          <t>增加借券杠杆</t>
        </is>
      </c>
    </row>
    <row r="21">
      <c r="A21" t="inlineStr">
        <is>
          <t>买断逆回购</t>
        </is>
      </c>
      <c r="B21" s="6" t="n"/>
      <c r="C21" t="inlineStr">
        <is>
          <t>增加回购和借券杠杆</t>
        </is>
      </c>
    </row>
    <row r="22">
      <c r="A22" t="inlineStr">
        <is>
          <t>增减资</t>
        </is>
      </c>
      <c r="B22" s="6" t="n"/>
      <c r="C22" t="inlineStr">
        <is>
          <t>正数增资，负数减资</t>
        </is>
      </c>
    </row>
    <row r="23">
      <c r="A23" t="inlineStr">
        <is>
          <t>其他调整</t>
        </is>
      </c>
      <c r="B23" s="6" t="n"/>
      <c r="C23" t="inlineStr"/>
    </row>
    <row r="25">
      <c r="A25" s="1" t="inlineStr">
        <is>
          <t>第三部分：变化前后对比区</t>
        </is>
      </c>
    </row>
    <row r="26">
      <c r="A26" s="8" t="inlineStr">
        <is>
          <t>指标</t>
        </is>
      </c>
      <c r="B26" s="8" t="inlineStr">
        <is>
          <t>变化前</t>
        </is>
      </c>
      <c r="C26" s="8" t="inlineStr">
        <is>
          <t>变化后</t>
        </is>
      </c>
      <c r="D26" s="8" t="inlineStr">
        <is>
          <t>变化量</t>
        </is>
      </c>
    </row>
    <row r="27">
      <c r="A27" t="inlineStr">
        <is>
          <t>总资产</t>
        </is>
      </c>
      <c r="B27" s="7">
        <f>B6</f>
        <v/>
      </c>
      <c r="C27" s="7">
        <f>B27+B19+B20+B21</f>
        <v/>
      </c>
      <c r="D27" s="7">
        <f>C27-B27</f>
        <v/>
      </c>
    </row>
    <row r="28">
      <c r="A28" t="inlineStr">
        <is>
          <t>净资产</t>
        </is>
      </c>
      <c r="B28" s="7">
        <f>B8</f>
        <v/>
      </c>
      <c r="C28" s="7">
        <f>B28+B22+B23</f>
        <v/>
      </c>
      <c r="D28" s="7">
        <f>C28-B28</f>
        <v/>
      </c>
    </row>
    <row r="29">
      <c r="A29" t="inlineStr">
        <is>
          <t>杠杆率</t>
        </is>
      </c>
      <c r="B29" s="7">
        <f>IFERROR(B27/B28,0)</f>
        <v/>
      </c>
      <c r="C29" s="7">
        <f>IFERROR(C27/C28,0)</f>
        <v/>
      </c>
      <c r="D29" s="7">
        <f>C29-B29</f>
        <v/>
      </c>
    </row>
    <row r="30">
      <c r="A30" t="inlineStr">
        <is>
          <t>回购规模</t>
        </is>
      </c>
      <c r="B30" s="7">
        <f>B12</f>
        <v/>
      </c>
      <c r="C30" s="7">
        <f>B30+B21</f>
        <v/>
      </c>
      <c r="D30" s="7">
        <f>C30-B30</f>
        <v/>
      </c>
    </row>
    <row r="31">
      <c r="A31" t="inlineStr">
        <is>
          <t>回购杠杆</t>
        </is>
      </c>
      <c r="B31" s="7">
        <f>IFERROR(B30/B28,0)</f>
        <v/>
      </c>
      <c r="C31" s="7">
        <f>IFERROR(C30/C28,0)</f>
        <v/>
      </c>
      <c r="D31" s="7">
        <f>C31-B31</f>
        <v/>
      </c>
    </row>
    <row r="32">
      <c r="A32" t="inlineStr">
        <is>
          <t>借券规模</t>
        </is>
      </c>
      <c r="B32" s="7">
        <f>B13+B14</f>
        <v/>
      </c>
      <c r="C32" s="7">
        <f>B32+B20+B21</f>
        <v/>
      </c>
      <c r="D32" s="7">
        <f>C32-B32</f>
        <v/>
      </c>
    </row>
    <row r="33">
      <c r="A33" t="inlineStr">
        <is>
          <t>借券杠杆</t>
        </is>
      </c>
      <c r="B33" s="7">
        <f>IFERROR(B32/B28,0)</f>
        <v/>
      </c>
      <c r="C33" s="7">
        <f>IFERROR(C32/C28,0)</f>
        <v/>
      </c>
      <c r="D33" s="7">
        <f>C33-B33</f>
        <v/>
      </c>
    </row>
    <row r="34">
      <c r="A34" t="inlineStr">
        <is>
          <t>质押式逆回购规模</t>
        </is>
      </c>
      <c r="B34" s="7">
        <f>B15</f>
        <v/>
      </c>
      <c r="C34" s="7">
        <f>B34</f>
        <v/>
      </c>
      <c r="D34" s="7">
        <f>C34-B34</f>
        <v/>
      </c>
    </row>
    <row r="35">
      <c r="A35" t="inlineStr">
        <is>
          <t>质押式逆回购杠杆</t>
        </is>
      </c>
      <c r="B35" s="7">
        <f>IFERROR(B34/B28,0)</f>
        <v/>
      </c>
      <c r="C35" s="7">
        <f>IFERROR(C34/C28,0)</f>
        <v/>
      </c>
      <c r="D35" s="7">
        <f>C35-B35</f>
        <v/>
      </c>
    </row>
    <row r="37">
      <c r="A37" s="1" t="inlineStr">
        <is>
          <t>第四部分：杠杆限制预警区</t>
        </is>
      </c>
    </row>
    <row r="38">
      <c r="A38" s="9" t="inlineStr">
        <is>
          <t>当前杠杆率:</t>
        </is>
      </c>
      <c r="B38" s="10">
        <f>C29</f>
        <v/>
      </c>
    </row>
    <row r="39">
      <c r="A39" s="9" t="inlineStr">
        <is>
          <t>杠杆限制:</t>
        </is>
      </c>
      <c r="B39" s="10" t="n">
        <v>1.4</v>
      </c>
    </row>
    <row r="40">
      <c r="A40" s="9" t="inlineStr">
        <is>
          <t>预警状态:</t>
        </is>
      </c>
      <c r="B40" s="9">
        <f>IF(B38&gt;B39,"超过杠杆限制！","正常")</f>
        <v/>
      </c>
    </row>
  </sheetData>
  <mergeCells count="7">
    <mergeCell ref="B2:C2"/>
    <mergeCell ref="B3:C3"/>
    <mergeCell ref="A25:E25"/>
    <mergeCell ref="B40:D40"/>
    <mergeCell ref="A1:E1"/>
    <mergeCell ref="A37:E37"/>
    <mergeCell ref="A17:E17"/>
  </mergeCells>
  <conditionalFormatting sqref="B40:D40">
    <cfRule type="cellIs" priority="1" operator="containsText" dxfId="0">
      <formula>"超过"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20" customWidth="1" min="5" max="5"/>
  </cols>
  <sheetData>
    <row r="1">
      <c r="A1" s="1" t="inlineStr">
        <is>
          <t>第一部分：初始资产负债表数据区</t>
        </is>
      </c>
    </row>
    <row r="2">
      <c r="A2" s="2" t="inlineStr">
        <is>
          <t>账户名称:</t>
        </is>
      </c>
      <c r="B2" s="3" t="inlineStr">
        <is>
          <t>健康险</t>
        </is>
      </c>
    </row>
    <row r="3">
      <c r="A3" s="2" t="inlineStr">
        <is>
          <t>数据日期:</t>
        </is>
      </c>
      <c r="B3" s="4" t="n"/>
    </row>
    <row r="5">
      <c r="A5" s="5" t="inlineStr">
        <is>
          <t>初始数据</t>
        </is>
      </c>
    </row>
    <row r="6">
      <c r="A6" t="inlineStr">
        <is>
          <t>总资产</t>
        </is>
      </c>
      <c r="B6" s="6" t="n"/>
    </row>
    <row r="7">
      <c r="A7" t="inlineStr">
        <is>
          <t>总负债</t>
        </is>
      </c>
      <c r="B7" s="6" t="n"/>
    </row>
    <row r="8">
      <c r="A8" t="inlineStr">
        <is>
          <t>净资产</t>
        </is>
      </c>
      <c r="B8" s="7">
        <f>B6-B7</f>
        <v/>
      </c>
    </row>
    <row r="9">
      <c r="A9" t="inlineStr">
        <is>
          <t>基准杠杆率</t>
        </is>
      </c>
      <c r="B9" s="7">
        <f>IFERROR(B6/B8,0)</f>
        <v/>
      </c>
    </row>
    <row r="11">
      <c r="A11" s="5" t="inlineStr">
        <is>
          <t>详细项目</t>
        </is>
      </c>
    </row>
    <row r="12">
      <c r="A12" t="inlineStr">
        <is>
          <t>卖出回购金融资产款</t>
        </is>
      </c>
      <c r="B12" s="6" t="n"/>
    </row>
    <row r="13">
      <c r="A13" t="inlineStr">
        <is>
          <t>交易性金融负债-买断</t>
        </is>
      </c>
      <c r="B13" s="6" t="n"/>
    </row>
    <row r="14">
      <c r="A14" t="inlineStr">
        <is>
          <t>交易性金融负债-借券</t>
        </is>
      </c>
      <c r="B14" s="6" t="n"/>
    </row>
    <row r="15">
      <c r="A15" t="inlineStr">
        <is>
          <t>质押式逆回购</t>
        </is>
      </c>
      <c r="B15" s="6" t="n"/>
    </row>
    <row r="17">
      <c r="A17" s="1" t="inlineStr">
        <is>
          <t>第二部分：当日操作输入区</t>
        </is>
      </c>
    </row>
    <row r="18">
      <c r="A18" s="8" t="inlineStr">
        <is>
          <t>操作类型</t>
        </is>
      </c>
      <c r="B18" s="8" t="inlineStr">
        <is>
          <t>金额</t>
        </is>
      </c>
      <c r="C18" s="8" t="inlineStr">
        <is>
          <t>说明</t>
        </is>
      </c>
    </row>
    <row r="19">
      <c r="A19" t="inlineStr">
        <is>
          <t>买卖券净额</t>
        </is>
      </c>
      <c r="B19" s="6" t="n"/>
      <c r="C19" t="inlineStr">
        <is>
          <t>正数为净买入，负数为净卖出</t>
        </is>
      </c>
    </row>
    <row r="20">
      <c r="A20" t="inlineStr">
        <is>
          <t>借券卖空</t>
        </is>
      </c>
      <c r="B20" s="6" t="n"/>
      <c r="C20" t="inlineStr">
        <is>
          <t>增加借券杠杆</t>
        </is>
      </c>
    </row>
    <row r="21">
      <c r="A21" t="inlineStr">
        <is>
          <t>买断逆回购</t>
        </is>
      </c>
      <c r="B21" s="6" t="n"/>
      <c r="C21" t="inlineStr">
        <is>
          <t>增加回购和借券杠杆</t>
        </is>
      </c>
    </row>
    <row r="22">
      <c r="A22" t="inlineStr">
        <is>
          <t>增减资</t>
        </is>
      </c>
      <c r="B22" s="6" t="n"/>
      <c r="C22" t="inlineStr">
        <is>
          <t>正数增资，负数减资</t>
        </is>
      </c>
    </row>
    <row r="23">
      <c r="A23" t="inlineStr">
        <is>
          <t>其他调整</t>
        </is>
      </c>
      <c r="B23" s="6" t="n"/>
      <c r="C23" t="inlineStr"/>
    </row>
    <row r="25">
      <c r="A25" s="1" t="inlineStr">
        <is>
          <t>第三部分：变化前后对比区</t>
        </is>
      </c>
    </row>
    <row r="26">
      <c r="A26" s="8" t="inlineStr">
        <is>
          <t>指标</t>
        </is>
      </c>
      <c r="B26" s="8" t="inlineStr">
        <is>
          <t>变化前</t>
        </is>
      </c>
      <c r="C26" s="8" t="inlineStr">
        <is>
          <t>变化后</t>
        </is>
      </c>
      <c r="D26" s="8" t="inlineStr">
        <is>
          <t>变化量</t>
        </is>
      </c>
    </row>
    <row r="27">
      <c r="A27" t="inlineStr">
        <is>
          <t>总资产</t>
        </is>
      </c>
      <c r="B27" s="7">
        <f>B6</f>
        <v/>
      </c>
      <c r="C27" s="7">
        <f>B27+B19+B20+B21</f>
        <v/>
      </c>
      <c r="D27" s="7">
        <f>C27-B27</f>
        <v/>
      </c>
    </row>
    <row r="28">
      <c r="A28" t="inlineStr">
        <is>
          <t>净资产</t>
        </is>
      </c>
      <c r="B28" s="7">
        <f>B8</f>
        <v/>
      </c>
      <c r="C28" s="7">
        <f>B28+B22+B23</f>
        <v/>
      </c>
      <c r="D28" s="7">
        <f>C28-B28</f>
        <v/>
      </c>
    </row>
    <row r="29">
      <c r="A29" t="inlineStr">
        <is>
          <t>杠杆率</t>
        </is>
      </c>
      <c r="B29" s="7">
        <f>IFERROR(B27/B28,0)</f>
        <v/>
      </c>
      <c r="C29" s="7">
        <f>IFERROR(C27/C28,0)</f>
        <v/>
      </c>
      <c r="D29" s="7">
        <f>C29-B29</f>
        <v/>
      </c>
    </row>
    <row r="30">
      <c r="A30" t="inlineStr">
        <is>
          <t>回购规模</t>
        </is>
      </c>
      <c r="B30" s="7">
        <f>B12</f>
        <v/>
      </c>
      <c r="C30" s="7">
        <f>B30+B21</f>
        <v/>
      </c>
      <c r="D30" s="7">
        <f>C30-B30</f>
        <v/>
      </c>
    </row>
    <row r="31">
      <c r="A31" t="inlineStr">
        <is>
          <t>回购杠杆</t>
        </is>
      </c>
      <c r="B31" s="7">
        <f>IFERROR(B30/B28,0)</f>
        <v/>
      </c>
      <c r="C31" s="7">
        <f>IFERROR(C30/C28,0)</f>
        <v/>
      </c>
      <c r="D31" s="7">
        <f>C31-B31</f>
        <v/>
      </c>
    </row>
    <row r="32">
      <c r="A32" t="inlineStr">
        <is>
          <t>借券规模</t>
        </is>
      </c>
      <c r="B32" s="7">
        <f>B13+B14</f>
        <v/>
      </c>
      <c r="C32" s="7">
        <f>B32+B20+B21</f>
        <v/>
      </c>
      <c r="D32" s="7">
        <f>C32-B32</f>
        <v/>
      </c>
    </row>
    <row r="33">
      <c r="A33" t="inlineStr">
        <is>
          <t>借券杠杆</t>
        </is>
      </c>
      <c r="B33" s="7">
        <f>IFERROR(B32/B28,0)</f>
        <v/>
      </c>
      <c r="C33" s="7">
        <f>IFERROR(C32/C28,0)</f>
        <v/>
      </c>
      <c r="D33" s="7">
        <f>C33-B33</f>
        <v/>
      </c>
    </row>
    <row r="34">
      <c r="A34" t="inlineStr">
        <is>
          <t>质押式逆回购规模</t>
        </is>
      </c>
      <c r="B34" s="7">
        <f>B15</f>
        <v/>
      </c>
      <c r="C34" s="7">
        <f>B34</f>
        <v/>
      </c>
      <c r="D34" s="7">
        <f>C34-B34</f>
        <v/>
      </c>
    </row>
    <row r="35">
      <c r="A35" t="inlineStr">
        <is>
          <t>质押式逆回购杠杆</t>
        </is>
      </c>
      <c r="B35" s="7">
        <f>IFERROR(B34/B28,0)</f>
        <v/>
      </c>
      <c r="C35" s="7">
        <f>IFERROR(C34/C28,0)</f>
        <v/>
      </c>
      <c r="D35" s="7">
        <f>C35-B35</f>
        <v/>
      </c>
    </row>
    <row r="37">
      <c r="A37" s="1" t="inlineStr">
        <is>
          <t>第四部分：杠杆限制预警区</t>
        </is>
      </c>
    </row>
    <row r="38">
      <c r="A38" s="9" t="inlineStr">
        <is>
          <t>当前杠杆率:</t>
        </is>
      </c>
      <c r="B38" s="10">
        <f>C29</f>
        <v/>
      </c>
    </row>
    <row r="39">
      <c r="A39" s="9" t="inlineStr">
        <is>
          <t>杠杆限制:</t>
        </is>
      </c>
      <c r="B39" s="10" t="n">
        <v>1.8</v>
      </c>
    </row>
    <row r="40">
      <c r="A40" s="9" t="inlineStr">
        <is>
          <t>预警状态:</t>
        </is>
      </c>
      <c r="B40" s="9">
        <f>IF(B38&gt;B39,"超过杠杆限制！","正常")</f>
        <v/>
      </c>
    </row>
  </sheetData>
  <mergeCells count="7">
    <mergeCell ref="B2:C2"/>
    <mergeCell ref="B3:C3"/>
    <mergeCell ref="A25:E25"/>
    <mergeCell ref="B40:D40"/>
    <mergeCell ref="A1:E1"/>
    <mergeCell ref="A37:E37"/>
    <mergeCell ref="A17:E17"/>
  </mergeCells>
  <conditionalFormatting sqref="B40:D40">
    <cfRule type="cellIs" priority="1" operator="containsText" dxfId="0">
      <formula>"超过"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2026-01-31T14:59:53Z</dcterms:created>
  <dcterms:modified xsi:type="dcterms:W3CDTF">2026-01-31T14:59:53Z</dcterms:modified>
</cp:coreProperties>
</file>