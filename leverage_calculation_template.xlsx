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银利3号" sheetId="1" state="visible" r:id="rId1"/>
    <sheet name="银利5号" sheetId="2" state="visible" r:id="rId2"/>
    <sheet name="健康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000000"/>
      <sz val="10"/>
    </font>
    <font>
      <name val="微软雅黑"/>
      <color rgb="00000000"/>
      <sz val="10"/>
    </font>
    <font>
      <name val="微软雅黑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10" fontId="2" fillId="6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0" fontId="3" fillId="0" borderId="1" applyAlignment="1" pivotButton="0" quotePrefix="0" xfId="0">
      <alignment vertical="center"/>
    </xf>
    <xf numFmtId="1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ont>
        <b val="1"/>
        <color rgb="00FFFFFF"/>
      </font>
      <fill>
        <patternFill patternType="solid">
          <fgColor rgb="0000FF00"/>
          <bgColor rgb="0000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5" customHeight="1">
      <c r="A1" s="1" t="inlineStr">
        <is>
          <t>银利3号 - 杠杆率计算表</t>
        </is>
      </c>
    </row>
    <row r="2">
      <c r="A2" s="2" t="inlineStr">
        <is>
          <t>杠杆限制：140%</t>
        </is>
      </c>
    </row>
    <row r="4">
      <c r="A4" s="3" t="inlineStr">
        <is>
          <t>一、初始资产负债表数据</t>
        </is>
      </c>
    </row>
    <row r="5">
      <c r="A5" s="4" t="inlineStr">
        <is>
          <t>科目</t>
        </is>
      </c>
      <c r="B5" s="4" t="inlineStr">
        <is>
          <t>金额（万元）</t>
        </is>
      </c>
    </row>
    <row r="6">
      <c r="A6" s="5" t="inlineStr">
        <is>
          <t>总资产</t>
        </is>
      </c>
      <c r="B6" s="5" t="n">
        <v>0</v>
      </c>
    </row>
    <row r="7">
      <c r="A7" s="6" t="inlineStr">
        <is>
          <t>卖出回购金融资产款</t>
        </is>
      </c>
      <c r="B7" s="6" t="n">
        <v>0</v>
      </c>
    </row>
    <row r="8">
      <c r="A8" s="6" t="inlineStr">
        <is>
          <t>交易性金融负债（买断）</t>
        </is>
      </c>
      <c r="B8" s="6" t="n">
        <v>0</v>
      </c>
    </row>
    <row r="9">
      <c r="A9" s="6" t="inlineStr">
        <is>
          <t>交易性金融负债（借券）</t>
        </is>
      </c>
      <c r="B9" s="6" t="n">
        <v>0</v>
      </c>
    </row>
    <row r="10">
      <c r="A10" s="6" t="inlineStr">
        <is>
          <t>买入返售金融资产</t>
        </is>
      </c>
      <c r="B10" s="6" t="n">
        <v>0</v>
      </c>
    </row>
    <row r="11">
      <c r="A11" s="6" t="inlineStr">
        <is>
          <t>其他负债</t>
        </is>
      </c>
      <c r="B11" s="6" t="n">
        <v>0</v>
      </c>
    </row>
    <row r="12">
      <c r="A12" s="5" t="inlineStr">
        <is>
          <t>总负债</t>
        </is>
      </c>
      <c r="B12" s="5">
        <f>B7+B8+B9+B11</f>
        <v/>
      </c>
    </row>
    <row r="13">
      <c r="A13" s="5" t="inlineStr">
        <is>
          <t>净资产</t>
        </is>
      </c>
      <c r="B13" s="5">
        <f>B6-B12</f>
        <v/>
      </c>
    </row>
    <row r="14">
      <c r="A14" s="7" t="inlineStr">
        <is>
          <t>初始杠杆率</t>
        </is>
      </c>
      <c r="B14" s="8">
        <f>IF(B13=0,0,B6/B13)</f>
        <v/>
      </c>
    </row>
    <row r="16">
      <c r="A16" s="3" t="inlineStr">
        <is>
          <t>二、当日操作输入区</t>
        </is>
      </c>
    </row>
    <row r="17">
      <c r="A17" s="4" t="inlineStr">
        <is>
          <t>操作类型</t>
        </is>
      </c>
      <c r="B17" s="4" t="inlineStr">
        <is>
          <t>金额（万元）</t>
        </is>
      </c>
      <c r="C17" s="4" t="inlineStr">
        <is>
          <t>说明</t>
        </is>
      </c>
    </row>
    <row r="18">
      <c r="A18" s="6" t="inlineStr">
        <is>
          <t>买入券</t>
        </is>
      </c>
      <c r="B18" s="6" t="n">
        <v>0</v>
      </c>
      <c r="C18" s="9" t="inlineStr">
        <is>
          <t>净买入增加总资产，相应增加净资产</t>
        </is>
      </c>
    </row>
    <row r="19">
      <c r="A19" s="6" t="inlineStr">
        <is>
          <t>卖出券</t>
        </is>
      </c>
      <c r="B19" s="6" t="n">
        <v>0</v>
      </c>
      <c r="C19" s="9" t="inlineStr">
        <is>
          <t>净卖出减少总资产，相应减少净资产</t>
        </is>
      </c>
    </row>
    <row r="20">
      <c r="A20" s="6" t="inlineStr">
        <is>
          <t>债券借贷（借券卖空）</t>
        </is>
      </c>
      <c r="B20" s="6" t="n">
        <v>0</v>
      </c>
      <c r="C20" s="9" t="inlineStr">
        <is>
          <t>增加交易性金融负债（借券）</t>
        </is>
      </c>
    </row>
    <row r="21">
      <c r="A21" s="6" t="inlineStr">
        <is>
          <t>买断逆回购借券</t>
        </is>
      </c>
      <c r="B21" s="6" t="n">
        <v>0</v>
      </c>
      <c r="C21" s="9" t="inlineStr">
        <is>
          <t>当日增加买入返售 + 交易性金融负债（买断）</t>
        </is>
      </c>
    </row>
    <row r="22">
      <c r="A22" s="6" t="inlineStr">
        <is>
          <t>买断逆回购借券释放</t>
        </is>
      </c>
      <c r="B22" s="6" t="n">
        <v>0</v>
      </c>
      <c r="C22" s="9" t="inlineStr">
        <is>
          <t>第二天释放买入返售和交易性金融负债（买断）</t>
        </is>
      </c>
    </row>
    <row r="23">
      <c r="A23" s="6" t="inlineStr">
        <is>
          <t>卖出回购融资</t>
        </is>
      </c>
      <c r="B23" s="6" t="n">
        <v>0</v>
      </c>
      <c r="C23" s="9" t="inlineStr">
        <is>
          <t>增加卖出回购金融资产款</t>
        </is>
      </c>
    </row>
    <row r="24">
      <c r="A24" s="6" t="inlineStr">
        <is>
          <t>卖出回购到期归还</t>
        </is>
      </c>
      <c r="B24" s="6" t="n">
        <v>0</v>
      </c>
      <c r="C24" s="9" t="inlineStr">
        <is>
          <t>减少卖出回购金融资产款</t>
        </is>
      </c>
    </row>
    <row r="25">
      <c r="A25" s="6" t="inlineStr">
        <is>
          <t>增资</t>
        </is>
      </c>
      <c r="B25" s="6" t="n">
        <v>0</v>
      </c>
      <c r="C25" s="9" t="inlineStr">
        <is>
          <t>增加净资产和总资产</t>
        </is>
      </c>
    </row>
    <row r="26">
      <c r="A26" s="6" t="inlineStr">
        <is>
          <t>减资</t>
        </is>
      </c>
      <c r="B26" s="6" t="n">
        <v>0</v>
      </c>
      <c r="C26" s="9" t="inlineStr">
        <is>
          <t>减少净资产和总资产</t>
        </is>
      </c>
    </row>
    <row r="28">
      <c r="A28" s="3" t="inlineStr">
        <is>
          <t>三、变化前后对比</t>
        </is>
      </c>
    </row>
    <row r="29">
      <c r="A29" s="4" t="inlineStr">
        <is>
          <t>指标</t>
        </is>
      </c>
      <c r="B29" s="4" t="inlineStr">
        <is>
          <t>变化前</t>
        </is>
      </c>
      <c r="C29" s="4" t="inlineStr">
        <is>
          <t>变化后</t>
        </is>
      </c>
      <c r="D29" s="4" t="inlineStr">
        <is>
          <t>变化额</t>
        </is>
      </c>
      <c r="E29" s="4" t="inlineStr">
        <is>
          <t>变化率</t>
        </is>
      </c>
    </row>
    <row r="30">
      <c r="A30" s="5" t="inlineStr">
        <is>
          <t>总资产</t>
        </is>
      </c>
      <c r="B30" s="5">
        <f>B6</f>
        <v/>
      </c>
      <c r="C30" s="5">
        <f>B30+B18-B19+B21-B22+B25-B26</f>
        <v/>
      </c>
      <c r="D30" s="6">
        <f>C30-B30</f>
        <v/>
      </c>
      <c r="E30" s="10">
        <f>IF(B30=0,0,(C30-B30)/B30)</f>
        <v/>
      </c>
    </row>
    <row r="31">
      <c r="A31" s="5" t="inlineStr">
        <is>
          <t>净资产</t>
        </is>
      </c>
      <c r="B31" s="5">
        <f>B13</f>
        <v/>
      </c>
      <c r="C31" s="5">
        <f>B31+B18-B19+B25-B26</f>
        <v/>
      </c>
      <c r="D31" s="6">
        <f>C31-B31</f>
        <v/>
      </c>
      <c r="E31" s="10">
        <f>IF(B31=0,0,(C31-B31)/B31)</f>
        <v/>
      </c>
    </row>
    <row r="32">
      <c r="A32" s="5" t="inlineStr">
        <is>
          <t>杠杆率</t>
        </is>
      </c>
      <c r="B32" s="11">
        <f>IF(B31=0,0,B30/B31)</f>
        <v/>
      </c>
      <c r="C32" s="11">
        <f>IF(C31=0,0,C30/C31)</f>
        <v/>
      </c>
      <c r="D32" s="10">
        <f>C32-B32</f>
        <v/>
      </c>
      <c r="E32" s="10">
        <f>IF(B32=0,0,(C32-B32)/B32)</f>
        <v/>
      </c>
    </row>
    <row r="33">
      <c r="A33" s="6" t="inlineStr">
        <is>
          <t>卖出回购金融资产款</t>
        </is>
      </c>
      <c r="B33" s="6">
        <f>B7</f>
        <v/>
      </c>
      <c r="C33" s="6">
        <f>B33+B23-B24</f>
        <v/>
      </c>
      <c r="D33" s="6">
        <f>C33-B33</f>
        <v/>
      </c>
      <c r="E33" s="10">
        <f>IF(B33=0,0,(C33-B33)/B33)</f>
        <v/>
      </c>
    </row>
    <row r="34">
      <c r="A34" s="6" t="inlineStr">
        <is>
          <t>回购杠杆</t>
        </is>
      </c>
      <c r="B34" s="10">
        <f>IF(B31=0,0,B33/B31)</f>
        <v/>
      </c>
      <c r="C34" s="10">
        <f>IF(C31=0,0,C33/C31)</f>
        <v/>
      </c>
      <c r="D34" s="10">
        <f>C34-B34</f>
        <v/>
      </c>
      <c r="E34" s="10">
        <f>IF(B34=0,0,(C34-B34)/B34)</f>
        <v/>
      </c>
    </row>
    <row r="35">
      <c r="A35" s="6" t="inlineStr">
        <is>
          <t>交易性金融负债（买断）</t>
        </is>
      </c>
      <c r="B35" s="6">
        <f>B8</f>
        <v/>
      </c>
      <c r="C35" s="6">
        <f>B35+B21-B22</f>
        <v/>
      </c>
      <c r="D35" s="6">
        <f>C35-B35</f>
        <v/>
      </c>
      <c r="E35" s="10">
        <f>IF(B35=0,0,(C35-B35)/B35)</f>
        <v/>
      </c>
    </row>
    <row r="36">
      <c r="A36" s="6" t="inlineStr">
        <is>
          <t>买断杠杆</t>
        </is>
      </c>
      <c r="B36" s="10">
        <f>IF(B31=0,0,B35/B31)</f>
        <v/>
      </c>
      <c r="C36" s="10">
        <f>IF(C31=0,0,C35/C31)</f>
        <v/>
      </c>
      <c r="D36" s="10">
        <f>C36-B36</f>
        <v/>
      </c>
      <c r="E36" s="10">
        <f>IF(B36=0,0,(C36-B36)/B36)</f>
        <v/>
      </c>
    </row>
    <row r="37">
      <c r="A37" s="6" t="inlineStr">
        <is>
          <t>交易性金融负债（借券）</t>
        </is>
      </c>
      <c r="B37" s="6">
        <f>B9</f>
        <v/>
      </c>
      <c r="C37" s="6">
        <f>B37+B20</f>
        <v/>
      </c>
      <c r="D37" s="6">
        <f>C37-B37</f>
        <v/>
      </c>
      <c r="E37" s="10">
        <f>IF(B37=0,0,(C37-B37)/B37)</f>
        <v/>
      </c>
    </row>
    <row r="38">
      <c r="A38" s="6" t="inlineStr">
        <is>
          <t>借券杠杆</t>
        </is>
      </c>
      <c r="B38" s="10">
        <f>IF(B31=0,0,B37/B31)</f>
        <v/>
      </c>
      <c r="C38" s="10">
        <f>IF(C31=0,0,C37/C31)</f>
        <v/>
      </c>
      <c r="D38" s="10">
        <f>C38-B38</f>
        <v/>
      </c>
      <c r="E38" s="10">
        <f>IF(B38=0,0,(C38-B38)/B38)</f>
        <v/>
      </c>
    </row>
    <row r="39">
      <c r="A39" s="6" t="inlineStr">
        <is>
          <t>买入返售金融资产</t>
        </is>
      </c>
      <c r="B39" s="6">
        <f>B10</f>
        <v/>
      </c>
      <c r="C39" s="6">
        <f>B39+B21-B22</f>
        <v/>
      </c>
      <c r="D39" s="6">
        <f>C39-B39</f>
        <v/>
      </c>
      <c r="E39" s="10">
        <f>IF(B39=0,0,(C39-B39)/B39)</f>
        <v/>
      </c>
    </row>
    <row r="40">
      <c r="A40" s="6" t="inlineStr">
        <is>
          <t>质押式逆回购杠杆</t>
        </is>
      </c>
      <c r="B40" s="10">
        <f>IF(B31=0,0,B39/B31)</f>
        <v/>
      </c>
      <c r="C40" s="10">
        <f>IF(C31=0,0,C39/C31)</f>
        <v/>
      </c>
      <c r="D40" s="10">
        <f>C40-B40</f>
        <v/>
      </c>
      <c r="E40" s="10">
        <f>IF(B40=0,0,(C40-B40)/B40)</f>
        <v/>
      </c>
    </row>
    <row r="42">
      <c r="A42" s="3" t="inlineStr">
        <is>
          <t>四、杠杆限制预警</t>
        </is>
      </c>
    </row>
    <row r="43">
      <c r="A43" s="5" t="inlineStr">
        <is>
          <t>杠杆限制</t>
        </is>
      </c>
      <c r="B43" s="11" t="n">
        <v>1.4</v>
      </c>
    </row>
    <row r="44">
      <c r="A44" s="5" t="inlineStr">
        <is>
          <t>当前杠杆率</t>
        </is>
      </c>
      <c r="B44" s="11">
        <f>C32</f>
        <v/>
      </c>
    </row>
    <row r="45">
      <c r="A45" s="6" t="inlineStr">
        <is>
          <t>距离限制</t>
        </is>
      </c>
      <c r="B45" s="10">
        <f>B43-B44</f>
        <v/>
      </c>
    </row>
    <row r="46">
      <c r="A46" s="5" t="inlineStr">
        <is>
          <t>预警状态</t>
        </is>
      </c>
      <c r="B46" s="5">
        <f>IF(B44&gt;B43,"⚠️ 超限警告！","✓ 正常")</f>
        <v/>
      </c>
    </row>
  </sheetData>
  <mergeCells count="16">
    <mergeCell ref="A4:E4"/>
    <mergeCell ref="C19:E19"/>
    <mergeCell ref="A2:E2"/>
    <mergeCell ref="A16:E16"/>
    <mergeCell ref="C23:E23"/>
    <mergeCell ref="A28:E28"/>
    <mergeCell ref="C22:E22"/>
    <mergeCell ref="A42:E42"/>
    <mergeCell ref="C18:E18"/>
    <mergeCell ref="A1:E1"/>
    <mergeCell ref="C26:E26"/>
    <mergeCell ref="C21:E21"/>
    <mergeCell ref="C20:E20"/>
    <mergeCell ref="B46:E46"/>
    <mergeCell ref="C25:E25"/>
    <mergeCell ref="C24:E24"/>
  </mergeCells>
  <conditionalFormatting sqref="B46:E46">
    <cfRule type="cellIs" priority="1" operator="containsText" dxfId="0">
      <formula>"超限"</formula>
    </cfRule>
    <cfRule type="cellIs" priority="2" operator="containsText" dxfId="1">
      <formula>"正常"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5" customHeight="1">
      <c r="A1" s="1" t="inlineStr">
        <is>
          <t>银利5号 - 杠杆率计算表</t>
        </is>
      </c>
    </row>
    <row r="2">
      <c r="A2" s="2" t="inlineStr">
        <is>
          <t>杠杆限制：140%</t>
        </is>
      </c>
    </row>
    <row r="4">
      <c r="A4" s="3" t="inlineStr">
        <is>
          <t>一、初始资产负债表数据</t>
        </is>
      </c>
    </row>
    <row r="5">
      <c r="A5" s="4" t="inlineStr">
        <is>
          <t>科目</t>
        </is>
      </c>
      <c r="B5" s="4" t="inlineStr">
        <is>
          <t>金额（万元）</t>
        </is>
      </c>
    </row>
    <row r="6">
      <c r="A6" s="5" t="inlineStr">
        <is>
          <t>总资产</t>
        </is>
      </c>
      <c r="B6" s="5" t="n">
        <v>0</v>
      </c>
    </row>
    <row r="7">
      <c r="A7" s="6" t="inlineStr">
        <is>
          <t>卖出回购金融资产款</t>
        </is>
      </c>
      <c r="B7" s="6" t="n">
        <v>0</v>
      </c>
    </row>
    <row r="8">
      <c r="A8" s="6" t="inlineStr">
        <is>
          <t>交易性金融负债（买断）</t>
        </is>
      </c>
      <c r="B8" s="6" t="n">
        <v>0</v>
      </c>
    </row>
    <row r="9">
      <c r="A9" s="6" t="inlineStr">
        <is>
          <t>交易性金融负债（借券）</t>
        </is>
      </c>
      <c r="B9" s="6" t="n">
        <v>0</v>
      </c>
    </row>
    <row r="10">
      <c r="A10" s="6" t="inlineStr">
        <is>
          <t>买入返售金融资产</t>
        </is>
      </c>
      <c r="B10" s="6" t="n">
        <v>0</v>
      </c>
    </row>
    <row r="11">
      <c r="A11" s="6" t="inlineStr">
        <is>
          <t>其他负债</t>
        </is>
      </c>
      <c r="B11" s="6" t="n">
        <v>0</v>
      </c>
    </row>
    <row r="12">
      <c r="A12" s="5" t="inlineStr">
        <is>
          <t>总负债</t>
        </is>
      </c>
      <c r="B12" s="5">
        <f>B7+B8+B9+B11</f>
        <v/>
      </c>
    </row>
    <row r="13">
      <c r="A13" s="5" t="inlineStr">
        <is>
          <t>净资产</t>
        </is>
      </c>
      <c r="B13" s="5">
        <f>B6-B12</f>
        <v/>
      </c>
    </row>
    <row r="14">
      <c r="A14" s="7" t="inlineStr">
        <is>
          <t>初始杠杆率</t>
        </is>
      </c>
      <c r="B14" s="8">
        <f>IF(B13=0,0,B6/B13)</f>
        <v/>
      </c>
    </row>
    <row r="16">
      <c r="A16" s="3" t="inlineStr">
        <is>
          <t>二、当日操作输入区</t>
        </is>
      </c>
    </row>
    <row r="17">
      <c r="A17" s="4" t="inlineStr">
        <is>
          <t>操作类型</t>
        </is>
      </c>
      <c r="B17" s="4" t="inlineStr">
        <is>
          <t>金额（万元）</t>
        </is>
      </c>
      <c r="C17" s="4" t="inlineStr">
        <is>
          <t>说明</t>
        </is>
      </c>
    </row>
    <row r="18">
      <c r="A18" s="6" t="inlineStr">
        <is>
          <t>买入券</t>
        </is>
      </c>
      <c r="B18" s="6" t="n">
        <v>0</v>
      </c>
      <c r="C18" s="9" t="inlineStr">
        <is>
          <t>净买入增加总资产，相应增加净资产</t>
        </is>
      </c>
    </row>
    <row r="19">
      <c r="A19" s="6" t="inlineStr">
        <is>
          <t>卖出券</t>
        </is>
      </c>
      <c r="B19" s="6" t="n">
        <v>0</v>
      </c>
      <c r="C19" s="9" t="inlineStr">
        <is>
          <t>净卖出减少总资产，相应减少净资产</t>
        </is>
      </c>
    </row>
    <row r="20">
      <c r="A20" s="6" t="inlineStr">
        <is>
          <t>债券借贷（借券卖空）</t>
        </is>
      </c>
      <c r="B20" s="6" t="n">
        <v>0</v>
      </c>
      <c r="C20" s="9" t="inlineStr">
        <is>
          <t>增加交易性金融负债（借券）</t>
        </is>
      </c>
    </row>
    <row r="21">
      <c r="A21" s="6" t="inlineStr">
        <is>
          <t>买断逆回购借券</t>
        </is>
      </c>
      <c r="B21" s="6" t="n">
        <v>0</v>
      </c>
      <c r="C21" s="9" t="inlineStr">
        <is>
          <t>当日增加买入返售 + 交易性金融负债（买断）</t>
        </is>
      </c>
    </row>
    <row r="22">
      <c r="A22" s="6" t="inlineStr">
        <is>
          <t>买断逆回购借券释放</t>
        </is>
      </c>
      <c r="B22" s="6" t="n">
        <v>0</v>
      </c>
      <c r="C22" s="9" t="inlineStr">
        <is>
          <t>第二天释放买入返售和交易性金融负债（买断）</t>
        </is>
      </c>
    </row>
    <row r="23">
      <c r="A23" s="6" t="inlineStr">
        <is>
          <t>卖出回购融资</t>
        </is>
      </c>
      <c r="B23" s="6" t="n">
        <v>0</v>
      </c>
      <c r="C23" s="9" t="inlineStr">
        <is>
          <t>增加卖出回购金融资产款</t>
        </is>
      </c>
    </row>
    <row r="24">
      <c r="A24" s="6" t="inlineStr">
        <is>
          <t>卖出回购到期归还</t>
        </is>
      </c>
      <c r="B24" s="6" t="n">
        <v>0</v>
      </c>
      <c r="C24" s="9" t="inlineStr">
        <is>
          <t>减少卖出回购金融资产款</t>
        </is>
      </c>
    </row>
    <row r="25">
      <c r="A25" s="6" t="inlineStr">
        <is>
          <t>增资</t>
        </is>
      </c>
      <c r="B25" s="6" t="n">
        <v>0</v>
      </c>
      <c r="C25" s="9" t="inlineStr">
        <is>
          <t>增加净资产和总资产</t>
        </is>
      </c>
    </row>
    <row r="26">
      <c r="A26" s="6" t="inlineStr">
        <is>
          <t>减资</t>
        </is>
      </c>
      <c r="B26" s="6" t="n">
        <v>0</v>
      </c>
      <c r="C26" s="9" t="inlineStr">
        <is>
          <t>减少净资产和总资产</t>
        </is>
      </c>
    </row>
    <row r="28">
      <c r="A28" s="3" t="inlineStr">
        <is>
          <t>三、变化前后对比</t>
        </is>
      </c>
    </row>
    <row r="29">
      <c r="A29" s="4" t="inlineStr">
        <is>
          <t>指标</t>
        </is>
      </c>
      <c r="B29" s="4" t="inlineStr">
        <is>
          <t>变化前</t>
        </is>
      </c>
      <c r="C29" s="4" t="inlineStr">
        <is>
          <t>变化后</t>
        </is>
      </c>
      <c r="D29" s="4" t="inlineStr">
        <is>
          <t>变化额</t>
        </is>
      </c>
      <c r="E29" s="4" t="inlineStr">
        <is>
          <t>变化率</t>
        </is>
      </c>
    </row>
    <row r="30">
      <c r="A30" s="5" t="inlineStr">
        <is>
          <t>总资产</t>
        </is>
      </c>
      <c r="B30" s="5">
        <f>B6</f>
        <v/>
      </c>
      <c r="C30" s="5">
        <f>B30+B18-B19+B21-B22+B25-B26</f>
        <v/>
      </c>
      <c r="D30" s="6">
        <f>C30-B30</f>
        <v/>
      </c>
      <c r="E30" s="10">
        <f>IF(B30=0,0,(C30-B30)/B30)</f>
        <v/>
      </c>
    </row>
    <row r="31">
      <c r="A31" s="5" t="inlineStr">
        <is>
          <t>净资产</t>
        </is>
      </c>
      <c r="B31" s="5">
        <f>B13</f>
        <v/>
      </c>
      <c r="C31" s="5">
        <f>B31+B18-B19+B25-B26</f>
        <v/>
      </c>
      <c r="D31" s="6">
        <f>C31-B31</f>
        <v/>
      </c>
      <c r="E31" s="10">
        <f>IF(B31=0,0,(C31-B31)/B31)</f>
        <v/>
      </c>
    </row>
    <row r="32">
      <c r="A32" s="5" t="inlineStr">
        <is>
          <t>杠杆率</t>
        </is>
      </c>
      <c r="B32" s="11">
        <f>IF(B31=0,0,B30/B31)</f>
        <v/>
      </c>
      <c r="C32" s="11">
        <f>IF(C31=0,0,C30/C31)</f>
        <v/>
      </c>
      <c r="D32" s="10">
        <f>C32-B32</f>
        <v/>
      </c>
      <c r="E32" s="10">
        <f>IF(B32=0,0,(C32-B32)/B32)</f>
        <v/>
      </c>
    </row>
    <row r="33">
      <c r="A33" s="6" t="inlineStr">
        <is>
          <t>卖出回购金融资产款</t>
        </is>
      </c>
      <c r="B33" s="6">
        <f>B7</f>
        <v/>
      </c>
      <c r="C33" s="6">
        <f>B33+B23-B24</f>
        <v/>
      </c>
      <c r="D33" s="6">
        <f>C33-B33</f>
        <v/>
      </c>
      <c r="E33" s="10">
        <f>IF(B33=0,0,(C33-B33)/B33)</f>
        <v/>
      </c>
    </row>
    <row r="34">
      <c r="A34" s="6" t="inlineStr">
        <is>
          <t>回购杠杆</t>
        </is>
      </c>
      <c r="B34" s="10">
        <f>IF(B31=0,0,B33/B31)</f>
        <v/>
      </c>
      <c r="C34" s="10">
        <f>IF(C31=0,0,C33/C31)</f>
        <v/>
      </c>
      <c r="D34" s="10">
        <f>C34-B34</f>
        <v/>
      </c>
      <c r="E34" s="10">
        <f>IF(B34=0,0,(C34-B34)/B34)</f>
        <v/>
      </c>
    </row>
    <row r="35">
      <c r="A35" s="6" t="inlineStr">
        <is>
          <t>交易性金融负债（买断）</t>
        </is>
      </c>
      <c r="B35" s="6">
        <f>B8</f>
        <v/>
      </c>
      <c r="C35" s="6">
        <f>B35+B21-B22</f>
        <v/>
      </c>
      <c r="D35" s="6">
        <f>C35-B35</f>
        <v/>
      </c>
      <c r="E35" s="10">
        <f>IF(B35=0,0,(C35-B35)/B35)</f>
        <v/>
      </c>
    </row>
    <row r="36">
      <c r="A36" s="6" t="inlineStr">
        <is>
          <t>买断杠杆</t>
        </is>
      </c>
      <c r="B36" s="10">
        <f>IF(B31=0,0,B35/B31)</f>
        <v/>
      </c>
      <c r="C36" s="10">
        <f>IF(C31=0,0,C35/C31)</f>
        <v/>
      </c>
      <c r="D36" s="10">
        <f>C36-B36</f>
        <v/>
      </c>
      <c r="E36" s="10">
        <f>IF(B36=0,0,(C36-B36)/B36)</f>
        <v/>
      </c>
    </row>
    <row r="37">
      <c r="A37" s="6" t="inlineStr">
        <is>
          <t>交易性金融负债（借券）</t>
        </is>
      </c>
      <c r="B37" s="6">
        <f>B9</f>
        <v/>
      </c>
      <c r="C37" s="6">
        <f>B37+B20</f>
        <v/>
      </c>
      <c r="D37" s="6">
        <f>C37-B37</f>
        <v/>
      </c>
      <c r="E37" s="10">
        <f>IF(B37=0,0,(C37-B37)/B37)</f>
        <v/>
      </c>
    </row>
    <row r="38">
      <c r="A38" s="6" t="inlineStr">
        <is>
          <t>借券杠杆</t>
        </is>
      </c>
      <c r="B38" s="10">
        <f>IF(B31=0,0,B37/B31)</f>
        <v/>
      </c>
      <c r="C38" s="10">
        <f>IF(C31=0,0,C37/C31)</f>
        <v/>
      </c>
      <c r="D38" s="10">
        <f>C38-B38</f>
        <v/>
      </c>
      <c r="E38" s="10">
        <f>IF(B38=0,0,(C38-B38)/B38)</f>
        <v/>
      </c>
    </row>
    <row r="39">
      <c r="A39" s="6" t="inlineStr">
        <is>
          <t>买入返售金融资产</t>
        </is>
      </c>
      <c r="B39" s="6">
        <f>B10</f>
        <v/>
      </c>
      <c r="C39" s="6">
        <f>B39+B21-B22</f>
        <v/>
      </c>
      <c r="D39" s="6">
        <f>C39-B39</f>
        <v/>
      </c>
      <c r="E39" s="10">
        <f>IF(B39=0,0,(C39-B39)/B39)</f>
        <v/>
      </c>
    </row>
    <row r="40">
      <c r="A40" s="6" t="inlineStr">
        <is>
          <t>质押式逆回购杠杆</t>
        </is>
      </c>
      <c r="B40" s="10">
        <f>IF(B31=0,0,B39/B31)</f>
        <v/>
      </c>
      <c r="C40" s="10">
        <f>IF(C31=0,0,C39/C31)</f>
        <v/>
      </c>
      <c r="D40" s="10">
        <f>C40-B40</f>
        <v/>
      </c>
      <c r="E40" s="10">
        <f>IF(B40=0,0,(C40-B40)/B40)</f>
        <v/>
      </c>
    </row>
    <row r="42">
      <c r="A42" s="3" t="inlineStr">
        <is>
          <t>四、杠杆限制预警</t>
        </is>
      </c>
    </row>
    <row r="43">
      <c r="A43" s="5" t="inlineStr">
        <is>
          <t>杠杆限制</t>
        </is>
      </c>
      <c r="B43" s="11" t="n">
        <v>1.4</v>
      </c>
    </row>
    <row r="44">
      <c r="A44" s="5" t="inlineStr">
        <is>
          <t>当前杠杆率</t>
        </is>
      </c>
      <c r="B44" s="11">
        <f>C32</f>
        <v/>
      </c>
    </row>
    <row r="45">
      <c r="A45" s="6" t="inlineStr">
        <is>
          <t>距离限制</t>
        </is>
      </c>
      <c r="B45" s="10">
        <f>B43-B44</f>
        <v/>
      </c>
    </row>
    <row r="46">
      <c r="A46" s="5" t="inlineStr">
        <is>
          <t>预警状态</t>
        </is>
      </c>
      <c r="B46" s="5">
        <f>IF(B44&gt;B43,"⚠️ 超限警告！","✓ 正常")</f>
        <v/>
      </c>
    </row>
  </sheetData>
  <mergeCells count="16">
    <mergeCell ref="A4:E4"/>
    <mergeCell ref="C19:E19"/>
    <mergeCell ref="A2:E2"/>
    <mergeCell ref="A16:E16"/>
    <mergeCell ref="C23:E23"/>
    <mergeCell ref="A28:E28"/>
    <mergeCell ref="C22:E22"/>
    <mergeCell ref="A42:E42"/>
    <mergeCell ref="C18:E18"/>
    <mergeCell ref="A1:E1"/>
    <mergeCell ref="C26:E26"/>
    <mergeCell ref="C21:E21"/>
    <mergeCell ref="C20:E20"/>
    <mergeCell ref="B46:E46"/>
    <mergeCell ref="C25:E25"/>
    <mergeCell ref="C24:E24"/>
  </mergeCells>
  <conditionalFormatting sqref="B46:E46">
    <cfRule type="cellIs" priority="1" operator="containsText" dxfId="0">
      <formula>"超限"</formula>
    </cfRule>
    <cfRule type="cellIs" priority="2" operator="containsText" dxfId="1">
      <formula>"正常"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5" customHeight="1">
      <c r="A1" s="1" t="inlineStr">
        <is>
          <t>健康险 - 杠杆率计算表</t>
        </is>
      </c>
    </row>
    <row r="2">
      <c r="A2" s="2" t="inlineStr">
        <is>
          <t>杠杆限制：180%</t>
        </is>
      </c>
    </row>
    <row r="4">
      <c r="A4" s="3" t="inlineStr">
        <is>
          <t>一、初始资产负债表数据</t>
        </is>
      </c>
    </row>
    <row r="5">
      <c r="A5" s="4" t="inlineStr">
        <is>
          <t>科目</t>
        </is>
      </c>
      <c r="B5" s="4" t="inlineStr">
        <is>
          <t>金额（万元）</t>
        </is>
      </c>
    </row>
    <row r="6">
      <c r="A6" s="5" t="inlineStr">
        <is>
          <t>总资产</t>
        </is>
      </c>
      <c r="B6" s="5" t="n">
        <v>0</v>
      </c>
    </row>
    <row r="7">
      <c r="A7" s="6" t="inlineStr">
        <is>
          <t>卖出回购金融资产款</t>
        </is>
      </c>
      <c r="B7" s="6" t="n">
        <v>0</v>
      </c>
    </row>
    <row r="8">
      <c r="A8" s="6" t="inlineStr">
        <is>
          <t>交易性金融负债（买断）</t>
        </is>
      </c>
      <c r="B8" s="6" t="n">
        <v>0</v>
      </c>
    </row>
    <row r="9">
      <c r="A9" s="6" t="inlineStr">
        <is>
          <t>交易性金融负债（借券）</t>
        </is>
      </c>
      <c r="B9" s="6" t="n">
        <v>0</v>
      </c>
    </row>
    <row r="10">
      <c r="A10" s="6" t="inlineStr">
        <is>
          <t>买入返售金融资产</t>
        </is>
      </c>
      <c r="B10" s="6" t="n">
        <v>0</v>
      </c>
    </row>
    <row r="11">
      <c r="A11" s="6" t="inlineStr">
        <is>
          <t>其他负债</t>
        </is>
      </c>
      <c r="B11" s="6" t="n">
        <v>0</v>
      </c>
    </row>
    <row r="12">
      <c r="A12" s="5" t="inlineStr">
        <is>
          <t>总负债</t>
        </is>
      </c>
      <c r="B12" s="5">
        <f>B7+B8+B9+B11</f>
        <v/>
      </c>
    </row>
    <row r="13">
      <c r="A13" s="5" t="inlineStr">
        <is>
          <t>净资产</t>
        </is>
      </c>
      <c r="B13" s="5">
        <f>B6-B12</f>
        <v/>
      </c>
    </row>
    <row r="14">
      <c r="A14" s="7" t="inlineStr">
        <is>
          <t>初始杠杆率</t>
        </is>
      </c>
      <c r="B14" s="8">
        <f>IF(B13=0,0,B6/B13)</f>
        <v/>
      </c>
    </row>
    <row r="16">
      <c r="A16" s="3" t="inlineStr">
        <is>
          <t>二、当日操作输入区</t>
        </is>
      </c>
    </row>
    <row r="17">
      <c r="A17" s="4" t="inlineStr">
        <is>
          <t>操作类型</t>
        </is>
      </c>
      <c r="B17" s="4" t="inlineStr">
        <is>
          <t>金额（万元）</t>
        </is>
      </c>
      <c r="C17" s="4" t="inlineStr">
        <is>
          <t>说明</t>
        </is>
      </c>
    </row>
    <row r="18">
      <c r="A18" s="6" t="inlineStr">
        <is>
          <t>买入券</t>
        </is>
      </c>
      <c r="B18" s="6" t="n">
        <v>0</v>
      </c>
      <c r="C18" s="9" t="inlineStr">
        <is>
          <t>净买入增加总资产，相应增加净资产</t>
        </is>
      </c>
    </row>
    <row r="19">
      <c r="A19" s="6" t="inlineStr">
        <is>
          <t>卖出券</t>
        </is>
      </c>
      <c r="B19" s="6" t="n">
        <v>0</v>
      </c>
      <c r="C19" s="9" t="inlineStr">
        <is>
          <t>净卖出减少总资产，相应减少净资产</t>
        </is>
      </c>
    </row>
    <row r="20">
      <c r="A20" s="6" t="inlineStr">
        <is>
          <t>债券借贷（借券卖空）</t>
        </is>
      </c>
      <c r="B20" s="6" t="n">
        <v>0</v>
      </c>
      <c r="C20" s="9" t="inlineStr">
        <is>
          <t>增加交易性金融负债（借券）</t>
        </is>
      </c>
    </row>
    <row r="21">
      <c r="A21" s="6" t="inlineStr">
        <is>
          <t>买断逆回购借券</t>
        </is>
      </c>
      <c r="B21" s="6" t="n">
        <v>0</v>
      </c>
      <c r="C21" s="9" t="inlineStr">
        <is>
          <t>当日增加买入返售 + 交易性金融负债（买断）</t>
        </is>
      </c>
    </row>
    <row r="22">
      <c r="A22" s="6" t="inlineStr">
        <is>
          <t>买断逆回购借券释放</t>
        </is>
      </c>
      <c r="B22" s="6" t="n">
        <v>0</v>
      </c>
      <c r="C22" s="9" t="inlineStr">
        <is>
          <t>第二天释放买入返售和交易性金融负债（买断）</t>
        </is>
      </c>
    </row>
    <row r="23">
      <c r="A23" s="6" t="inlineStr">
        <is>
          <t>卖出回购融资</t>
        </is>
      </c>
      <c r="B23" s="6" t="n">
        <v>0</v>
      </c>
      <c r="C23" s="9" t="inlineStr">
        <is>
          <t>增加卖出回购金融资产款</t>
        </is>
      </c>
    </row>
    <row r="24">
      <c r="A24" s="6" t="inlineStr">
        <is>
          <t>卖出回购到期归还</t>
        </is>
      </c>
      <c r="B24" s="6" t="n">
        <v>0</v>
      </c>
      <c r="C24" s="9" t="inlineStr">
        <is>
          <t>减少卖出回购金融资产款</t>
        </is>
      </c>
    </row>
    <row r="25">
      <c r="A25" s="6" t="inlineStr">
        <is>
          <t>增资</t>
        </is>
      </c>
      <c r="B25" s="6" t="n">
        <v>0</v>
      </c>
      <c r="C25" s="9" t="inlineStr">
        <is>
          <t>增加净资产和总资产</t>
        </is>
      </c>
    </row>
    <row r="26">
      <c r="A26" s="6" t="inlineStr">
        <is>
          <t>减资</t>
        </is>
      </c>
      <c r="B26" s="6" t="n">
        <v>0</v>
      </c>
      <c r="C26" s="9" t="inlineStr">
        <is>
          <t>减少净资产和总资产</t>
        </is>
      </c>
    </row>
    <row r="28">
      <c r="A28" s="3" t="inlineStr">
        <is>
          <t>三、变化前后对比</t>
        </is>
      </c>
    </row>
    <row r="29">
      <c r="A29" s="4" t="inlineStr">
        <is>
          <t>指标</t>
        </is>
      </c>
      <c r="B29" s="4" t="inlineStr">
        <is>
          <t>变化前</t>
        </is>
      </c>
      <c r="C29" s="4" t="inlineStr">
        <is>
          <t>变化后</t>
        </is>
      </c>
      <c r="D29" s="4" t="inlineStr">
        <is>
          <t>变化额</t>
        </is>
      </c>
      <c r="E29" s="4" t="inlineStr">
        <is>
          <t>变化率</t>
        </is>
      </c>
    </row>
    <row r="30">
      <c r="A30" s="5" t="inlineStr">
        <is>
          <t>总资产</t>
        </is>
      </c>
      <c r="B30" s="5">
        <f>B6</f>
        <v/>
      </c>
      <c r="C30" s="5">
        <f>B30+B18-B19+B21-B22+B25-B26</f>
        <v/>
      </c>
      <c r="D30" s="6">
        <f>C30-B30</f>
        <v/>
      </c>
      <c r="E30" s="10">
        <f>IF(B30=0,0,(C30-B30)/B30)</f>
        <v/>
      </c>
    </row>
    <row r="31">
      <c r="A31" s="5" t="inlineStr">
        <is>
          <t>净资产</t>
        </is>
      </c>
      <c r="B31" s="5">
        <f>B13</f>
        <v/>
      </c>
      <c r="C31" s="5">
        <f>B31+B18-B19+B25-B26</f>
        <v/>
      </c>
      <c r="D31" s="6">
        <f>C31-B31</f>
        <v/>
      </c>
      <c r="E31" s="10">
        <f>IF(B31=0,0,(C31-B31)/B31)</f>
        <v/>
      </c>
    </row>
    <row r="32">
      <c r="A32" s="5" t="inlineStr">
        <is>
          <t>杠杆率</t>
        </is>
      </c>
      <c r="B32" s="11">
        <f>IF(B31=0,0,B30/B31)</f>
        <v/>
      </c>
      <c r="C32" s="11">
        <f>IF(C31=0,0,C30/C31)</f>
        <v/>
      </c>
      <c r="D32" s="10">
        <f>C32-B32</f>
        <v/>
      </c>
      <c r="E32" s="10">
        <f>IF(B32=0,0,(C32-B32)/B32)</f>
        <v/>
      </c>
    </row>
    <row r="33">
      <c r="A33" s="6" t="inlineStr">
        <is>
          <t>卖出回购金融资产款</t>
        </is>
      </c>
      <c r="B33" s="6">
        <f>B7</f>
        <v/>
      </c>
      <c r="C33" s="6">
        <f>B33+B23-B24</f>
        <v/>
      </c>
      <c r="D33" s="6">
        <f>C33-B33</f>
        <v/>
      </c>
      <c r="E33" s="10">
        <f>IF(B33=0,0,(C33-B33)/B33)</f>
        <v/>
      </c>
    </row>
    <row r="34">
      <c r="A34" s="6" t="inlineStr">
        <is>
          <t>回购杠杆</t>
        </is>
      </c>
      <c r="B34" s="10">
        <f>IF(B31=0,0,B33/B31)</f>
        <v/>
      </c>
      <c r="C34" s="10">
        <f>IF(C31=0,0,C33/C31)</f>
        <v/>
      </c>
      <c r="D34" s="10">
        <f>C34-B34</f>
        <v/>
      </c>
      <c r="E34" s="10">
        <f>IF(B34=0,0,(C34-B34)/B34)</f>
        <v/>
      </c>
    </row>
    <row r="35">
      <c r="A35" s="6" t="inlineStr">
        <is>
          <t>交易性金融负债（买断）</t>
        </is>
      </c>
      <c r="B35" s="6">
        <f>B8</f>
        <v/>
      </c>
      <c r="C35" s="6">
        <f>B35+B21-B22</f>
        <v/>
      </c>
      <c r="D35" s="6">
        <f>C35-B35</f>
        <v/>
      </c>
      <c r="E35" s="10">
        <f>IF(B35=0,0,(C35-B35)/B35)</f>
        <v/>
      </c>
    </row>
    <row r="36">
      <c r="A36" s="6" t="inlineStr">
        <is>
          <t>买断杠杆</t>
        </is>
      </c>
      <c r="B36" s="10">
        <f>IF(B31=0,0,B35/B31)</f>
        <v/>
      </c>
      <c r="C36" s="10">
        <f>IF(C31=0,0,C35/C31)</f>
        <v/>
      </c>
      <c r="D36" s="10">
        <f>C36-B36</f>
        <v/>
      </c>
      <c r="E36" s="10">
        <f>IF(B36=0,0,(C36-B36)/B36)</f>
        <v/>
      </c>
    </row>
    <row r="37">
      <c r="A37" s="6" t="inlineStr">
        <is>
          <t>交易性金融负债（借券）</t>
        </is>
      </c>
      <c r="B37" s="6">
        <f>B9</f>
        <v/>
      </c>
      <c r="C37" s="6">
        <f>B37+B20</f>
        <v/>
      </c>
      <c r="D37" s="6">
        <f>C37-B37</f>
        <v/>
      </c>
      <c r="E37" s="10">
        <f>IF(B37=0,0,(C37-B37)/B37)</f>
        <v/>
      </c>
    </row>
    <row r="38">
      <c r="A38" s="6" t="inlineStr">
        <is>
          <t>借券杠杆</t>
        </is>
      </c>
      <c r="B38" s="10">
        <f>IF(B31=0,0,B37/B31)</f>
        <v/>
      </c>
      <c r="C38" s="10">
        <f>IF(C31=0,0,C37/C31)</f>
        <v/>
      </c>
      <c r="D38" s="10">
        <f>C38-B38</f>
        <v/>
      </c>
      <c r="E38" s="10">
        <f>IF(B38=0,0,(C38-B38)/B38)</f>
        <v/>
      </c>
    </row>
    <row r="39">
      <c r="A39" s="6" t="inlineStr">
        <is>
          <t>买入返售金融资产</t>
        </is>
      </c>
      <c r="B39" s="6">
        <f>B10</f>
        <v/>
      </c>
      <c r="C39" s="6">
        <f>B39+B21-B22</f>
        <v/>
      </c>
      <c r="D39" s="6">
        <f>C39-B39</f>
        <v/>
      </c>
      <c r="E39" s="10">
        <f>IF(B39=0,0,(C39-B39)/B39)</f>
        <v/>
      </c>
    </row>
    <row r="40">
      <c r="A40" s="6" t="inlineStr">
        <is>
          <t>质押式逆回购杠杆</t>
        </is>
      </c>
      <c r="B40" s="10">
        <f>IF(B31=0,0,B39/B31)</f>
        <v/>
      </c>
      <c r="C40" s="10">
        <f>IF(C31=0,0,C39/C31)</f>
        <v/>
      </c>
      <c r="D40" s="10">
        <f>C40-B40</f>
        <v/>
      </c>
      <c r="E40" s="10">
        <f>IF(B40=0,0,(C40-B40)/B40)</f>
        <v/>
      </c>
    </row>
    <row r="42">
      <c r="A42" s="3" t="inlineStr">
        <is>
          <t>四、杠杆限制预警</t>
        </is>
      </c>
    </row>
    <row r="43">
      <c r="A43" s="5" t="inlineStr">
        <is>
          <t>杠杆限制</t>
        </is>
      </c>
      <c r="B43" s="11" t="n">
        <v>1.8</v>
      </c>
    </row>
    <row r="44">
      <c r="A44" s="5" t="inlineStr">
        <is>
          <t>当前杠杆率</t>
        </is>
      </c>
      <c r="B44" s="11">
        <f>C32</f>
        <v/>
      </c>
    </row>
    <row r="45">
      <c r="A45" s="6" t="inlineStr">
        <is>
          <t>距离限制</t>
        </is>
      </c>
      <c r="B45" s="10">
        <f>B43-B44</f>
        <v/>
      </c>
    </row>
    <row r="46">
      <c r="A46" s="5" t="inlineStr">
        <is>
          <t>预警状态</t>
        </is>
      </c>
      <c r="B46" s="5">
        <f>IF(B44&gt;B43,"⚠️ 超限警告！","✓ 正常")</f>
        <v/>
      </c>
    </row>
  </sheetData>
  <mergeCells count="16">
    <mergeCell ref="A4:E4"/>
    <mergeCell ref="C19:E19"/>
    <mergeCell ref="A2:E2"/>
    <mergeCell ref="A16:E16"/>
    <mergeCell ref="C23:E23"/>
    <mergeCell ref="A28:E28"/>
    <mergeCell ref="C22:E22"/>
    <mergeCell ref="A42:E42"/>
    <mergeCell ref="C18:E18"/>
    <mergeCell ref="A1:E1"/>
    <mergeCell ref="C26:E26"/>
    <mergeCell ref="C21:E21"/>
    <mergeCell ref="C20:E20"/>
    <mergeCell ref="B46:E46"/>
    <mergeCell ref="C25:E25"/>
    <mergeCell ref="C24:E24"/>
  </mergeCells>
  <conditionalFormatting sqref="B46:E46">
    <cfRule type="cellIs" priority="1" operator="containsText" dxfId="0">
      <formula>"超限"</formula>
    </cfRule>
    <cfRule type="cellIs" priority="2" operator="containsText" dxfId="1">
      <formula>"正常"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2026-01-31T14:57:29Z</dcterms:created>
  <dcterms:modified xsi:type="dcterms:W3CDTF">2026-01-31T14:57:29Z</dcterms:modified>
</cp:coreProperties>
</file>